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a8659a65c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_Table" sheetId="1" r:id="R0cb7fb4fcaa045b7"/>
    <x:sheet xmlns:r="http://schemas.openxmlformats.org/officeDocument/2006/relationships" name="Methodology" sheetId="2" r:id="R6bc709404dcc4e8e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4" authorId="0">
      <x:text>
        <x:r>
          <x:t>Source lineage: stocks annual return series inherited from the revised Permanent Portfolio workbook.</x:t>
        </x:r>
      </x:text>
    </x:comment>
    <x:comment ref="C4" authorId="0">
      <x:text>
        <x:r>
          <x:t>Source lineage: TLT-style long Treasury annual proxy inherited from the revised Permanent Portfolio workbook.</x:t>
        </x:r>
      </x:text>
    </x:comment>
    <x:comment ref="D4" authorId="0">
      <x:text>
        <x:r>
          <x:t>Intermediate Treasury proxy uses the 10-year Treasury annual return series from the earlier PP table.</x:t>
        </x:r>
      </x:text>
    </x:comment>
    <x:comment ref="F4" authorId="0">
      <x:text>
        <x:r>
          <x:t>Commodities proxy: BLS PPI All Commodities (WPU00000000), December-to-December percent change.</x:t>
        </x:r>
      </x:text>
    </x:comment>
    <x:comment ref="G4" authorId="0">
      <x:text>
        <x:r>
          <x:t>DIY All Weather return = 30% stocks + 40% long Treasury + 15% intermediate Treasury + 7.5% gold + 7.5% commodities.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;[Red](0.0%)"/>
    <x:numFmt numFmtId="165" formatCode="0.000"/>
  </x:numFmts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sz val="10"/>
      <x:color rgb="00404040"/>
    </x:font>
    <x:font>
      <x:b/>
      <x:color rgb="00FFFFFF"/>
    </x:font>
    <x:font>
      <x:b/>
    </x:font>
    <x:font/>
  </x:fonts>
  <x:fills count="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8FBFD"/>
      </x:patternFill>
    </x:fill>
    <x:fill>
      <x:patternFill patternType="solid">
        <x:fgColor rgb="00FFFFFF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</x:fills>
  <x:borders count="4">
    <x:border>
      <x:left/>
      <x:right/>
      <x:top/>
      <x:bottom/>
      <x:diagonal/>
    </x:border>
    <x:border>
      <x:top style="medium">
        <x:color rgb="001F4E78"/>
      </x:top>
      <x:bottom style="medium">
        <x:color rgb="001F4E78"/>
      </x:bottom>
    </x:border>
    <x:border>
      <x:bottom style="thin">
        <x:color rgb="00BFBFBF"/>
      </x:bottom>
    </x:border>
    <x:border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2" borderId="1" xfId="0" applyAlignment="1">
      <x:alignment horizontal="center" vertical="center" wrapText="1"/>
    </x:xf>
    <x:xf numFmtId="1" fontId="0" fillId="3" borderId="2" xfId="0" applyAlignment="1">
      <x:alignment horizontal="center"/>
    </x:xf>
    <x:xf numFmtId="164" fontId="0" fillId="3" borderId="2" xfId="0" applyAlignment="1">
      <x:alignment horizontal="right"/>
    </x:xf>
    <x:xf numFmtId="165" fontId="0" fillId="3" borderId="2" xfId="0" applyAlignment="1">
      <x:alignment horizontal="right"/>
    </x:xf>
    <x:xf numFmtId="1" fontId="0" fillId="4" borderId="2" xfId="0" applyAlignment="1">
      <x:alignment horizontal="center"/>
    </x:xf>
    <x:xf numFmtId="164" fontId="0" fillId="4" borderId="2" xfId="0" applyAlignment="1">
      <x:alignment horizontal="right"/>
    </x:xf>
    <x:xf numFmtId="165" fontId="0" fillId="4" borderId="2" xfId="0" applyAlignment="1">
      <x:alignment horizontal="right"/>
    </x:xf>
    <x:xf numFmtId="0" fontId="4" fillId="5" borderId="3" xfId="0"/>
    <x:xf numFmtId="164" fontId="0" fillId="5" borderId="3" xfId="0"/>
    <x:xf numFmtId="0" fontId="0" fillId="5" borderId="3" xfId="0"/>
    <x:xf numFmtId="165" fontId="0" fillId="5" borderId="3" xfId="0"/>
    <x:xf numFmtId="0" fontId="1" fillId="2" borderId="0" xfId="0"/>
    <x:xf numFmtId="0" fontId="3" fillId="2" borderId="0" xfId="0"/>
    <x:xf numFmtId="0" fontId="4" fillId="6" borderId="2" xfId="0" applyAlignment="1">
      <x:alignment vertical="top"/>
    </x:xf>
    <x:xf numFmtId="0" fontId="0" fillId="0" borderId="2" xfId="0" applyAlignment="1">
      <x:alignment vertical="top" wrapText="1"/>
    </x:xf>
    <x:xf numFmtId="0" fontId="5" fillId="7" borderId="2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446c3d6cc48bb" /><Relationship Type="http://schemas.openxmlformats.org/officeDocument/2006/relationships/theme" Target="/xl/theme/theme1.xml" Id="Rb25550e7d2a24ebb" /><Relationship Type="http://schemas.openxmlformats.org/officeDocument/2006/relationships/sharedStrings" Target="/xl/sharedStrings.xml" Id="Rf7290883c3dc41c5" /><Relationship Type="http://schemas.openxmlformats.org/officeDocument/2006/relationships/worksheet" Target="/xl/worksheets/sheet1.xml" Id="R0cb7fb4fcaa045b7" /><Relationship Type="http://schemas.openxmlformats.org/officeDocument/2006/relationships/worksheet" Target="/xl/worksheets/sheet2.xml" Id="R6bc709404dcc4e8e" /><Relationship Type="http://schemas.microsoft.com/office/2017/10/relationships/person" Target="/xl/persons/person.xml" Id="R22626920e8c34fed" /></Relationships>
</file>

<file path=xl/persons/person.xml><?xml version="1.0" encoding="utf-8"?>
<xltc:personList xmlns:xltc="http://schemas.microsoft.com/office/spreadsheetml/2018/threadedcomments">
  <xltc:person displayName="OpenAI" id="{42EE5C4D-AFE2-684A-7386-7FA42BBE11D1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5e27305deae4d20" /><Relationship Type="http://schemas.openxmlformats.org/officeDocument/2006/relationships/vmlDrawing" Target="/xl/drawings/vmldrawing.vml" Id="R8d9ddde0204d45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5" customWidth="1"/>
    <x:col min="3" max="3" width="18" customWidth="1"/>
    <x:col min="4" max="4" width="22" customWidth="1"/>
    <x:col min="5" max="5" width="12" customWidth="1"/>
    <x:col min="6" max="6" width="18" customWidth="1"/>
    <x:col min="7" max="7" width="20" customWidth="1"/>
    <x:col min="8" max="8" width="24" customWidth="1"/>
    <x:col min="9" max="9" width="12" customWidth="1"/>
    <x:col min="10" max="10" width="18" customWidth="1"/>
  </x:cols>
  <x:sheetData>
    <x:row r="1">
      <x:c r="A1" s="1" t="inlineStr">
        <x:is>
          <x:t xml:space="preserve">DIY All Weather Portfolio Annual Return Series (1972–2025)</x:t>
        </x:is>
      </x:c>
    </x:row>
    <x:row r="2">
      <x:c r="A2" s="2" t="inlineStr">
        <x:is>
          <x:t xml:space="preserve">Weights: 30% Stocks, 40% Long Treasury (TLT-style proxy), 15% Intermediate Treasury (10Y proxy), 7.5% Gold, 7.5% Commodities proxy</x:t>
        </x:is>
      </x:c>
    </x:row>
    <x:row r="4">
      <x:c r="A4" s="3" t="inlineStr">
        <x:is>
          <x:t xml:space="preserve">Year</x:t>
        </x:is>
      </x:c>
      <x:c r="B4" s="3" t="inlineStr">
        <x:is>
          <x:t xml:space="preserve">Stocks Return</x:t>
        </x:is>
      </x:c>
      <x:c r="C4" s="3" t="inlineStr">
        <x:is>
          <x:t xml:space="preserve">Long Treasury Return</x:t>
        </x:is>
      </x:c>
      <x:c r="D4" s="3" t="inlineStr">
        <x:is>
          <x:t xml:space="preserve">Intermediate Treasury Return</x:t>
        </x:is>
      </x:c>
      <x:c r="E4" s="3" t="inlineStr">
        <x:is>
          <x:t xml:space="preserve">Gold Return</x:t>
        </x:is>
      </x:c>
      <x:c r="F4" s="3" t="inlineStr">
        <x:is>
          <x:t xml:space="preserve">Commodities Return</x:t>
        </x:is>
      </x:c>
      <x:c r="G4" s="3" t="inlineStr">
        <x:is>
          <x:t xml:space="preserve">DIY All Weather Return</x:t>
        </x:is>
      </x:c>
      <x:c r="H4" s="3" t="inlineStr">
        <x:is>
          <x:t xml:space="preserve">DIY All Weather Value ($1 start)</x:t>
        </x:is>
      </x:c>
      <x:c r="I4" s="3" t="inlineStr">
        <x:is>
          <x:t xml:space="preserve">PP Return</x:t>
        </x:is>
      </x:c>
      <x:c r="J4" s="3" t="inlineStr">
        <x:is>
          <x:t xml:space="preserve">PP Value ($1 start)</x:t>
        </x:is>
      </x:c>
    </x:row>
    <x:row r="5">
      <x:c r="A5" s="4" t="n">
        <x:v>1972</x:v>
      </x:c>
      <x:c r="B5" s="5" t="n">
        <x:v>0.1875536291507653</x:v>
      </x:c>
      <x:c r="C5" s="5" t="n">
        <x:v>-0.01636817085873266</x:v>
      </x:c>
      <x:c r="D5" s="5" t="n">
        <x:v>0.02818449050444969</x:v>
      </x:c>
      <x:c r="E5" s="5" t="n">
        <x:v>0.4878496102705498</x:v>
      </x:c>
      <x:c r="F5" s="5" t="n">
        <x:v>0.06476683937823835</x:v>
      </x:c>
      <x:c r="G5" s="5" t="n">
        <x:v>0.09539272770106309</x:v>
      </x:c>
      <x:c r="H5" s="6">
        <x:f>1+G5</x:f>
        <x:v>1.095392727701063</x:v>
      </x:c>
      <x:c r="I5" s="5" t="n">
        <x:v>0.1751559246803009</x:v>
      </x:c>
      <x:c r="J5" s="6">
        <x:f>1+I5</x:f>
        <x:v>1.175155924680301</x:v>
      </x:c>
    </x:row>
    <x:row r="6">
      <x:c r="A6" s="7" t="n">
        <x:v>1973</x:v>
      </x:c>
      <x:c r="B6" s="8" t="n">
        <x:v>-0.1430804743752737</x:v>
      </x:c>
      <x:c r="C6" s="8" t="n">
        <x:v>-0.001956431297960748</x:v>
      </x:c>
      <x:c r="D6" s="8" t="n">
        <x:v>0.03658664602415009</x:v>
      </x:c>
      <x:c r="E6" s="8" t="n">
        <x:v>0.7295839753466729</x:v>
      </x:c>
      <x:c r="F6" s="8" t="n">
        <x:v>0.1532846715328466</x:v>
      </x:c>
      <x:c r="G6" s="8" t="n">
        <x:v>0.02799643058782007</x:v>
      </x:c>
      <x:c r="H6" s="9">
        <x:f>H5*(1+G6)</x:f>
        <x:v>1.1260598141685487</x:v>
      </x:c>
      <x:c r="I6" s="8" t="n">
        <x:v>0.1644993904895218</x:v>
      </x:c>
      <x:c r="J6" s="9">
        <x:f>J5*(1+I6)</x:f>
        <x:v>1.3684683580203607</x:v>
      </x:c>
    </x:row>
    <x:row r="7">
      <x:c r="A7" s="4" t="n">
        <x:v>1974</x:v>
      </x:c>
      <x:c r="B7" s="5" t="n">
        <x:v>-0.2590178575089765</x:v>
      </x:c>
      <x:c r="C7" s="5" t="n">
        <x:v>0.03745274545160826</x:v>
      </x:c>
      <x:c r="D7" s="5" t="n">
        <x:v>0.01988608693237857</x:v>
      </x:c>
      <x:c r="E7" s="5" t="n">
        <x:v>0.6614699331848677</x:v>
      </x:c>
      <x:c r="F7" s="5" t="n">
        <x:v>0.2088607594936709</x:v>
      </x:c>
      <x:c r="G7" s="5" t="n">
        <x:v>0.005533455918697548</x:v>
      </x:c>
      <x:c r="H7" s="6">
        <x:f>H6*(1+G7)</x:f>
        <x:v>1.132290816512067</x:v>
      </x:c>
      <x:c r="I7" s="5" t="n">
        <x:v>0.1305219175369905</x:v>
      </x:c>
      <x:c r="J7" s="6">
        <x:f>J6*(1+I7)</x:f>
        <x:v>1.547083472197875</x:v>
      </x:c>
    </x:row>
    <x:row r="8">
      <x:c r="A8" s="7" t="n">
        <x:v>1975</x:v>
      </x:c>
      <x:c r="B8" s="8" t="n">
        <x:v>0.3699513710618665</x:v>
      </x:c>
      <x:c r="C8" s="8" t="n">
        <x:v>0.06474081454448899</x:v>
      </x:c>
      <x:c r="D8" s="8" t="n">
        <x:v>0.03605253602603384</x:v>
      </x:c>
      <x:c r="E8" s="8" t="n">
        <x:v>-0.247989276139387</x:v>
      </x:c>
      <x:c r="F8" s="8" t="n">
        <x:v>0.04188481675392675</x:v>
      </x:c>
      <x:c r="G8" s="8" t="n">
        <x:v>0.1268317830863511</x:v>
      </x:c>
      <x:c r="H8" s="9">
        <x:f>H7*(1+G8)</x:f>
        <x:v>1.2759012797425928</x:v>
      </x:c>
      <x:c r="I8" s="8" t="n">
        <x:v>0.06166579087753732</x:v>
      </x:c>
      <x:c r="J8" s="9">
        <x:f>J7*(1+I8)</x:f>
        <x:v>1.6424855980645234</x:v>
      </x:c>
    </x:row>
    <x:row r="9">
      <x:c r="A9" s="4" t="n">
        <x:v>1976</x:v>
      </x:c>
      <x:c r="B9" s="5" t="n">
        <x:v>0.2383099900210641</x:v>
      </x:c>
      <x:c r="C9" s="5" t="n">
        <x:v>0.1514526219778289</x:v>
      </x:c>
      <x:c r="D9" s="5" t="n">
        <x:v>0.1598456074290921</x:v>
      </x:c>
      <x:c r="E9" s="5" t="n">
        <x:v>-0.04099821746880072</x:v>
      </x:c>
      <x:c r="F9" s="5" t="n">
        <x:v>0.04690117252931314</x:v>
      </x:c>
      <x:c r="G9" s="5" t="n">
        <x:v>0.1564936085413531</x:v>
      </x:c>
      <x:c r="H9" s="6">
        <x:f>H8*(1+G9)</x:f>
        <x:v>1.4755716751520416</x:v>
      </x:c>
      <x:c r="I9" s="5" t="n">
        <x:v>0.100090381168471</x:v>
      </x:c>
      <x:c r="J9" s="6">
        <x:f>J8*(1+I9)</x:f>
        <x:v>1.8068826076385256</x:v>
      </x:c>
    </x:row>
    <x:row r="10">
      <x:c r="A10" s="7" t="n">
        <x:v>1977</x:v>
      </x:c>
      <x:c r="B10" s="8" t="n">
        <x:v>-0.06979704075935877</x:v>
      </x:c>
      <x:c r="C10" s="8" t="n">
        <x:v>-0.003600054538326347</x:v>
      </x:c>
      <x:c r="D10" s="8" t="n">
        <x:v>0.01289960607107045</x:v>
      </x:c>
      <x:c r="E10" s="8" t="n">
        <x:v>0.2263940520446137</x:v>
      </x:c>
      <x:c r="F10" s="8" t="n">
        <x:v>0.05920000000000014</x:v>
      </x:c>
      <x:c r="G10" s="8" t="n">
        <x:v>0.0009753607708684305</x:v>
      </x:c>
      <x:c r="H10" s="9">
        <x:f>H9*(1+G10)</x:f>
        <x:v>1.4770108898785896</x:v>
      </x:c>
      <x:c r="I10" s="8" t="n">
        <x:v>0.05180389685241771</x:v>
      </x:c>
      <x:c r="J10" s="9">
        <x:f>J9*(1+I10)</x:f>
        <x:v>1.9004861678690592</x:v>
      </x:c>
    </x:row>
    <x:row r="11">
      <x:c r="A11" s="4" t="n">
        <x:v>1978</x:v>
      </x:c>
      <x:c r="B11" s="5" t="n">
        <x:v>0.06509283911671115</x:v>
      </x:c>
      <x:c r="C11" s="5" t="n">
        <x:v>-0.01062297942582657</x:v>
      </x:c>
      <x:c r="D11" s="5" t="n">
        <x:v>-0.007775806907508648</x:v>
      </x:c>
      <x:c r="E11" s="5" t="n">
        <x:v>0.3701121551985553</x:v>
      </x:c>
      <x:c r="F11" s="5" t="n">
        <x:v>0.09818731117824764</x:v>
      </x:c>
      <x:c r="G11" s="5" t="n">
        <x:v>0.04923474890681664</x:v>
      </x:c>
      <x:c r="H11" s="6">
        <x:f>H10*(1+G11)</x:f>
        <x:v>1.5497311501743958</x:v>
      </x:c>
      <x:c r="I11" s="5" t="n">
        <x:v>0.1247417405609867</x:v>
      </x:c>
      <x:c r="J11" s="6">
        <x:f>J10*(1+I11)</x:f>
        <x:v>2.1375561203611255</x:v>
      </x:c>
    </x:row>
    <x:row r="12">
      <x:c r="A12" s="7" t="n">
        <x:v>1979</x:v>
      </x:c>
      <x:c r="B12" s="8" t="n">
        <x:v>0.1851949016751622</x:v>
      </x:c>
      <x:c r="C12" s="8" t="n">
        <x:v>-0.01682678285745998</x:v>
      </x:c>
      <x:c r="D12" s="8" t="n">
        <x:v>0.006707203124723546</x:v>
      </x:c>
      <x:c r="E12" s="8" t="n">
        <x:v>1.265486725663692</x:v>
      </x:c>
      <x:c r="F12" s="8" t="n">
        <x:v>0.1471801925722147</x:v>
      </x:c>
      <x:c r="G12" s="8" t="n">
        <x:v>0.1557838566959662</x:v>
      </x:c>
      <x:c r="H12" s="9">
        <x:f>H11*(1+G12)</x:f>
        <x:v>1.7911542455904388</x:v>
      </x:c>
      <x:c r="I12" s="8" t="n">
        <x:v>0.3851658713652784</x:v>
      </x:c>
      <x:c r="J12" s="9">
        <x:f>J11*(1+I12)</x:f>
        <x:v>2.960869786052202</x:v>
      </x:c>
    </x:row>
    <x:row r="13">
      <x:c r="A13" s="4" t="n">
        <x:v>1980</x:v>
      </x:c>
      <x:c r="B13" s="5" t="n">
        <x:v>0.3173524550676352</x:v>
      </x:c>
      <x:c r="C13" s="5" t="n">
        <x:v>-0.0373604257856085</x:v>
      </x:c>
      <x:c r="D13" s="5" t="n">
        <x:v>-0.02989744251999403</x:v>
      </x:c>
      <x:c r="E13" s="5" t="n">
        <x:v>0.1518554687500242</x:v>
      </x:c>
      <x:c r="F13" s="5" t="n">
        <x:v>0.1247002398081534</x:v>
      </x:c>
      <x:c r="G13" s="5" t="n">
        <x:v>0.09651862796991137</x:v>
      </x:c>
      <x:c r="H13" s="6">
        <x:f>H12*(1+G13)</x:f>
        <x:v>1.9640339958573094</x:v>
      </x:c>
      <x:c r="I13" s="5" t="n">
        <x:v>0.1384915087150573</x:v>
      </x:c>
      <x:c r="J13" s="6">
        <x:f>J12*(1+I13)</x:f>
        <x:v>3.3709251098314006</x:v>
      </x:c>
    </x:row>
    <x:row r="14">
      <x:c r="A14" s="7" t="n">
        <x:v>1981</x:v>
      </x:c>
      <x:c r="B14" s="8" t="n">
        <x:v>-0.04702390247495569</x:v>
      </x:c>
      <x:c r="C14" s="8" t="n">
        <x:v>0.007301633217662973</x:v>
      </x:c>
      <x:c r="D14" s="8" t="n">
        <x:v>0.08199215335892354</x:v>
      </x:c>
      <x:c r="E14" s="8" t="n">
        <x:v>-0.3259855871131794</x:v>
      </x:c>
      <x:c r="F14" s="8" t="n">
        <x:v>0.05330490405117261</x:v>
      </x:c>
      <x:c r="G14" s="8" t="n">
        <x:v>-0.01933874568123349</x:v>
      </x:c>
      <x:c r="H14" s="9">
        <x:f>H13*(1+G14)</x:f>
        <x:v>1.926052041902128</x:v>
      </x:c>
      <x:c r="I14" s="8" t="n">
        <x:v>-0.05348183301930121</x:v>
      </x:c>
      <x:c r="J14" s="9">
        <x:f>J13*(1+I14)</x:f>
        <x:v>3.190641855986828</x:v>
      </x:c>
    </x:row>
    <x:row r="15">
      <x:c r="A15" s="4" t="n">
        <x:v>1982</x:v>
      </x:c>
      <x:c r="B15" s="5" t="n">
        <x:v>0.2041905507955626</x:v>
      </x:c>
      <x:c r="C15" s="5" t="n">
        <x:v>0.4598039040349844</x:v>
      </x:c>
      <x:c r="D15" s="5" t="n">
        <x:v>0.3281454948629559</x:v>
      </x:c>
      <x:c r="E15" s="5" t="n">
        <x:v>0.1562264150943751</x:v>
      </x:c>
      <x:c r="F15" s="5" t="n">
        <x:v>0.0172064777327936</x:v>
      </x:c>
      <x:c r="G15" s="5" t="n">
        <x:v>0.3074080180441436</x:v>
      </x:c>
      <x:c r="H15" s="6">
        <x:f>H14*(1+G15)</x:f>
        <x:v>2.5181358827531373</x:v>
      </x:c>
      <x:c r="I15" s="5" t="n">
        <x:v>0.2330762827456407</x:v>
      </x:c>
      <x:c r="J15" s="6">
        <x:f>J14*(1+I15)</x:f>
        <x:v>3.9343047993528897</x:v>
      </x:c>
    </x:row>
    <x:row r="16">
      <x:c r="A16" s="7" t="n">
        <x:v>1983</x:v>
      </x:c>
      <x:c r="B16" s="8" t="n">
        <x:v>0.2233715585893121</x:v>
      </x:c>
      <x:c r="C16" s="8" t="n">
        <x:v>-0.01650979268001374</x:v>
      </x:c>
      <x:c r="D16" s="8" t="n">
        <x:v>0.03200209445142926</x:v>
      </x:c>
      <x:c r="E16" s="8" t="n">
        <x:v>-0.1679721496953895</x:v>
      </x:c>
      <x:c r="F16" s="8" t="n">
        <x:v>0.01791044776119399</x:v>
      </x:c>
      <x:c r="G16" s="8" t="n">
        <x:v>0.05395323702743785</x:v>
      </x:c>
      <x:c r="H16" s="9">
        <x:f>H15*(1+G16)</x:f>
        <x:v>2.6539974649026137</x:v>
      </x:c>
      <x:c r="I16" s="8" t="n">
        <x:v>0.0322851106880151</x:v>
      </x:c>
      <x:c r="J16" s="9">
        <x:f>J15*(1+I16)</x:f>
        <x:v>4.061324265280387</x:v>
      </x:c>
    </x:row>
    <x:row r="17">
      <x:c r="A17" s="4" t="n">
        <x:v>1984</x:v>
      </x:c>
      <x:c r="B17" s="5" t="n">
        <x:v>0.06146141999635435</x:v>
      </x:c>
      <x:c r="C17" s="5" t="n">
        <x:v>0.1561289939332462</x:v>
      </x:c>
      <x:c r="D17" s="5" t="n">
        <x:v>0.1373336434410234</x:v>
      </x:c>
      <x:c r="E17" s="5" t="n">
        <x:v>-0.1937761506276369</x:v>
      </x:c>
      <x:c r="F17" s="5" t="n">
        <x:v>0.01173020527859236</x:v>
      </x:c>
      <x:c r="G17" s="5" t="n">
        <x:v>0.08783662418717997</x:v>
      </x:c>
      <x:c r="H17" s="6">
        <x:f>H16*(1+G17)</x:f>
        <x:v>2.887115642820993</x:v>
      </x:c>
      <x:c r="I17" s="5" t="n">
        <x:v>0.03116188288866617</x:v>
      </x:c>
      <x:c r="J17" s="6">
        <x:f>J16*(1+I17)</x:f>
        <x:v>4.187882776407952</x:v>
      </x:c>
    </x:row>
    <x:row r="18">
      <x:c r="A18" s="7" t="n">
        <x:v>1985</x:v>
      </x:c>
      <x:c r="B18" s="8" t="n">
        <x:v>0.3123514948577069</x:v>
      </x:c>
      <x:c r="C18" s="8" t="n">
        <x:v>0.3605196496196923</x:v>
      </x:c>
      <x:c r="D18" s="8" t="n">
        <x:v>0.2571248821260641</x:v>
      </x:c>
      <x:c r="E18" s="8" t="n">
        <x:v>0.06000648718780011</x:v>
      </x:c>
      <x:c r="F18" s="8" t="n">
        <x:v>0.0009661835748790981</x:v>
      </x:c>
      <x:c r="G18" s="8" t="n">
        <x:v>0.2810549909312996</x:v>
      </x:c>
      <x:c r="H18" s="9">
        <x:f>H17*(1+G18)</x:f>
        <x:v>3.6985539036316606</x:v>
      </x:c>
      <x:c r="I18" s="8" t="n">
        <x:v>0.2027744196702765</x:v>
      </x:c>
      <x:c r="J18" s="9">
        <x:f>J17*(1+I18)</x:f>
        <x:v>5.037078276041221</x:v>
      </x:c>
    </x:row>
    <x:row r="19">
      <x:c r="A19" s="4" t="n">
        <x:v>1986</x:v>
      </x:c>
      <x:c r="B19" s="5" t="n">
        <x:v>0.1849457875804856</x:v>
      </x:c>
      <x:c r="C19" s="5" t="n">
        <x:v>0.2902787102231184</x:v>
      </x:c>
      <x:c r="D19" s="5" t="n">
        <x:v>0.2428421514176762</x:v>
      </x:c>
      <x:c r="E19" s="5" t="n">
        <x:v>0.1895654834761231</x:v>
      </x:c>
      <x:c r="F19" s="5" t="n">
        <x:v>-0.03764478764478751</x:v>
      </x:c>
      <x:c r="G19" s="5" t="n">
        <x:v>0.2194155952633947</x:v>
      </x:c>
      <x:c r="H19" s="6">
        <x:f>H18*(1+G19)</x:f>
        <x:v>4.510074310010753</x:v>
      </x:c>
      <x:c r="I19" s="5" t="n">
        <x:v>0.1816992937362525</x:v>
      </x:c>
      <x:c r="J19" s="6">
        <x:f>J18*(1+I19)</x:f>
        <x:v>5.952311841292131</x:v>
      </x:c>
    </x:row>
    <x:row r="20">
      <x:c r="A20" s="7" t="n">
        <x:v>1987</x:v>
      </x:c>
      <x:c r="B20" s="8" t="n">
        <x:v>0.05812721641823559</x:v>
      </x:c>
      <x:c r="C20" s="8" t="n">
        <x:v>-0.07532998983529282</x:v>
      </x:c>
      <x:c r="D20" s="8" t="n">
        <x:v>-0.04960508937926228</x:v>
      </x:c>
      <x:c r="E20" s="8" t="n">
        <x:v>0.2452733118971482</x:v>
      </x:c>
      <x:c r="F20" s="8" t="n">
        <x:v>0.04513540621865597</x:v>
      </x:c>
      <x:c r="G20" s="8" t="n">
        <x:v>0.001646059443149519</x:v>
      </x:c>
      <x:c r="H20" s="9">
        <x:f>H19*(1+G20)</x:f>
        <x:v>4.517498160418053</x:v>
      </x:c>
      <x:c r="I20" s="8" t="n">
        <x:v>0.07201938026654475</x:v>
      </x:c>
      <x:c r="J20" s="9">
        <x:f>J19*(1+I20)</x:f>
        <x:v>6.380993651255206</x:v>
      </x:c>
    </x:row>
    <x:row r="21">
      <x:c r="A21" s="4" t="n">
        <x:v>1988</x:v>
      </x:c>
      <x:c r="B21" s="5" t="n">
        <x:v>0.1653719281204664</x:v>
      </x:c>
      <x:c r="C21" s="5" t="n">
        <x:v>0.08010584219545835</x:v>
      </x:c>
      <x:c r="D21" s="5" t="n">
        <x:v>0.08223595843484167</x:v>
      </x:c>
      <x:c r="E21" s="5" t="n">
        <x:v>-0.1525511258004476</x:v>
      </x:c>
      <x:c r="F21" s="5" t="n">
        <x:v>0.04606525911708248</x:v>
      </x:c>
      <x:c r="G21" s="5" t="n">
        <x:v>0.08600286907829711</x:v>
      </x:c>
      <x:c r="H21" s="6">
        <x:f>H20*(1+G21)</x:f>
        <x:v>4.906015963269934</x:v>
      </x:c>
      <x:c r="I21" s="5" t="n">
        <x:v>0.0405147582290899</x:v>
      </x:c>
      <x:c r="J21" s="6">
        <x:f>J20*(1+I21)</x:f>
        <x:v>6.6395180662971685</x:v>
      </x:c>
    </x:row>
    <x:row r="22">
      <x:c r="A22" s="7" t="n">
        <x:v>1989</x:v>
      </x:c>
      <x:c r="B22" s="8" t="n">
        <x:v>0.3147518363819608</x:v>
      </x:c>
      <x:c r="C22" s="8" t="n">
        <x:v>0.2085731409388596</x:v>
      </x:c>
      <x:c r="D22" s="8" t="n">
        <x:v>0.1769364715944622</x:v>
      </x:c>
      <x:c r="E22" s="8" t="n">
        <x:v>-0.02839731870811069</x:v>
      </x:c>
      <x:c r="F22" s="8" t="n">
        <x:v>0.03669724770642202</x:v>
      </x:c>
      <x:c r="G22" s="8" t="n">
        <x:v>0.2050177727041748</x:v>
      </x:c>
      <x:c r="H22" s="9">
        <x:f>H21*(1+G22)</x:f>
        <x:v>5.911836428910663</x:v>
      </x:c>
      <x:c r="I22" s="8" t="n">
        <x:v>0.144855045169328</x:v>
      </x:c>
      <x:c r="J22" s="9">
        <x:f>J21*(1+I22)</x:f>
        <x:v>7.6012857556932145</x:v>
      </x:c>
    </x:row>
    <x:row r="23">
      <x:c r="A23" s="4" t="n">
        <x:v>1990</x:v>
      </x:c>
      <x:c r="B23" s="5" t="n">
        <x:v>-0.03064451612904817</x:v>
      </x:c>
      <x:c r="C23" s="5" t="n">
        <x:v>0.05331441214727106</x:v>
      </x:c>
      <x:c r="D23" s="5" t="n">
        <x:v>0.06235375333553336</x:v>
      </x:c>
      <x:c r="E23" s="5" t="n">
        <x:v>-0.03110888108376375</x:v>
      </x:c>
      <x:c r="F23" s="5" t="n">
        <x:v>0.05044247787610612</x:v>
      </x:c>
      <x:c r="G23" s="5" t="n">
        <x:v>0.02293549277994966</x:v>
      </x:c>
      <x:c r="H23" s="6">
        <x:f>H22*(1+G23)</x:f>
        <x:v>6.0474273106421865</x:v>
      </x:c>
      <x:c r="I23" s="5" t="n">
        <x:v>0.01749307093789643</x:v>
      </x:c>
      <x:c r="J23" s="6">
        <x:f>J22*(1+I23)</x:f>
        <x:v>7.7342555866367775</x:v>
      </x:c>
    </x:row>
    <x:row r="24">
      <x:c r="A24" s="7" t="n">
        <x:v>1991</x:v>
      </x:c>
      <x:c r="B24" s="8" t="n">
        <x:v>0.3023484313487883</x:v>
      </x:c>
      <x:c r="C24" s="8" t="n">
        <x:v>0.1666144984503697</x:v>
      </x:c>
      <x:c r="D24" s="8" t="n">
        <x:v>0.150045100195173</x:v>
      </x:c>
      <x:c r="E24" s="8" t="n">
        <x:v>-0.08557742102537547</x:v>
      </x:c>
      <x:c r="F24" s="8" t="n">
        <x:v>-0.02358887952822242</x:v>
      </x:c>
      <x:c r="G24" s="8" t="n">
        <x:v>0.1716696212725405</x:v>
      </x:c>
      <x:c r="H24" s="9">
        <x:f>H23*(1+G24)</x:f>
        <x:v>7.085586866733349</x:v>
      </x:c>
      <x:c r="I24" s="8" t="n">
        <x:v>0.1097560448638641</x:v>
      </x:c>
      <x:c r="J24" s="9">
        <x:f>J23*(1+I24)</x:f>
        <x:v>8.583136889792275</x:v>
      </x:c>
    </x:row>
    <x:row r="25">
      <x:c r="A25" s="4" t="n">
        <x:v>1992</x:v>
      </x:c>
      <x:c r="B25" s="5" t="n">
        <x:v>0.07493727972381703</x:v>
      </x:c>
      <x:c r="C25" s="5" t="n">
        <x:v>0.08059042988384424</x:v>
      </x:c>
      <x:c r="D25" s="5" t="n">
        <x:v>0.09361637316207942</x:v>
      </x:c>
      <x:c r="E25" s="5" t="n">
        <x:v>-0.05734107319832171</x:v>
      </x:c>
      <x:c r="F25" s="5" t="n">
        <x:v>0.01466781708369269</x:v>
      </x:c>
      <x:c r="G25" s="5" t="n">
        <x:v>0.06555931763639754</x:v>
      </x:c>
      <x:c r="H25" s="6">
        <x:f>H24*(1+G25)</x:f>
        <x:v>7.550113106769808</x:v>
      </x:c>
      <x:c r="I25" s="5" t="n">
        <x:v>0.03336128930140037</x:v>
      </x:c>
      <x:c r="J25" s="6">
        <x:f>J24*(1+I25)</x:f>
        <x:v>8.869481402686157</x:v>
      </x:c>
    </x:row>
    <x:row r="26">
      <x:c r="A26" s="7" t="n">
        <x:v>1993</x:v>
      </x:c>
      <x:c r="B26" s="8" t="n">
        <x:v>0.09967051479196187</x:v>
      </x:c>
      <x:c r="C26" s="8" t="n">
        <x:v>0.1930708643747601</x:v>
      </x:c>
      <x:c r="D26" s="8" t="n">
        <x:v>0.1421095758926311</x:v>
      </x:c>
      <x:c r="E26" s="8" t="n">
        <x:v>0.1767798137578869</x:v>
      </x:c>
      <x:c r="F26" s="8" t="n">
        <x:v>0.008503401360544283</x:v>
      </x:c>
      <x:c r="G26" s="8" t="n">
        <x:v>0.1423421777052696</x:v>
      </x:c>
      <x:c r="H26" s="9">
        <x:f>H25*(1+G26)</x:f>
        <x:v>8.62481264830852</x:v>
      </x:c>
      <x:c r="I26" s="8" t="n">
        <x:v>0.1250041091431529</x:v>
      </x:c>
      <x:c r="J26" s="9">
        <x:f>J25*(1+I26)</x:f>
        <x:v>9.978203023990702</x:v>
      </x:c>
    </x:row>
    <x:row r="27">
      <x:c r="A27" s="4" t="n">
        <x:v>1994</x:v>
      </x:c>
      <x:c r="B27" s="5" t="n">
        <x:v>0.01325920677454828</x:v>
      </x:c>
      <x:c r="C27" s="5" t="n">
        <x:v>-0.09740969806982025</x:v>
      </x:c>
      <x:c r="D27" s="5" t="n">
        <x:v>-0.08036655550998592</x:v>
      </x:c>
      <x:c r="E27" s="5" t="n">
        <x:v>-0.02169751116783758</x:v>
      </x:c>
      <x:c r="F27" s="5" t="n">
        <x:v>0.02782462057335588</x:v>
      </x:c>
      <x:c r="G27" s="5" t="n">
        <x:v>-0.04658156731664764</x:v>
      </x:c>
      <x:c r="H27" s="6">
        <x:f>H26*(1+G27)</x:f>
        <x:v>8.223055357337863</x:v>
      </x:c>
      <x:c r="I27" s="5" t="n">
        <x:v>-0.01558655500960038</x:v>
      </x:c>
      <x:c r="J27" s="6">
        <x:f>J26*(1+I27)</x:f>
        <x:v>9.82267721366031</x:v>
      </x:c>
    </x:row>
    <x:row r="28">
      <x:c r="A28" s="7" t="n">
        <x:v>1995</x:v>
      </x:c>
      <x:c r="B28" s="8" t="n">
        <x:v>0.3719519890260761</x:v>
      </x:c>
      <x:c r="C28" s="8" t="n">
        <x:v>0.3441559201572997</x:v>
      </x:c>
      <x:c r="D28" s="8" t="n">
        <x:v>0.2348078011253891</x:v>
      </x:c>
      <x:c r="E28" s="8" t="n">
        <x:v>0.009784735812130796</x:v>
      </x:c>
      <x:c r="F28" s="8" t="n">
        <x:v>0.03117309269893354</x:v>
      </x:c>
      <x:c r="G28" s="8" t="n">
        <x:v>0.2875409720778809</x:v>
      </x:c>
      <x:c r="H28" s="9">
        <x:f>H27*(1+G28)</x:f>
        <x:v>10.587520688237017</x:v>
      </x:c>
      <x:c r="I28" s="8" t="n">
        <x:v>0.1955768929888322</x:v>
      </x:c>
      <x:c r="J28" s="9">
        <x:f>J27*(1+I28)</x:f>
        <x:v>11.743765903940192</x:v>
      </x:c>
    </x:row>
    <x:row r="29">
      <x:c r="A29" s="4" t="n">
        <x:v>1996</x:v>
      </x:c>
      <x:c r="B29" s="5" t="n">
        <x:v>0.2268096601886411</x:v>
      </x:c>
      <x:c r="C29" s="5" t="n">
        <x:v>-0.02359188949586433</x:v>
      </x:c>
      <x:c r="D29" s="5" t="n">
        <x:v>0.01428607793401844</x:v>
      </x:c>
      <x:c r="E29" s="5" t="n">
        <x:v>-0.04586563307496105</x:v>
      </x:c>
      <x:c r="F29" s="5" t="n">
        <x:v>0.02704852824184556</x:v>
      </x:c>
      <x:c r="G29" s="5" t="n">
        <x:v>0.0593377710858657</x:v>
      </x:c>
      <x:c r="H29" s="6">
        <x:f>H28*(1+G29)</x:f>
        <x:v>11.215760567202494</x:v>
      </x:c>
      <x:c r="I29" s="5" t="n">
        <x:v>0.05230890612023464</x:v>
      </x:c>
      <x:c r="J29" s="6">
        <x:f>J28*(1+I29)</x:f>
        <x:v>12.358069452107411</x:v>
      </x:c>
    </x:row>
    <x:row r="30">
      <x:c r="A30" s="7" t="n">
        <x:v>1997</x:v>
      </x:c>
      <x:c r="B30" s="8" t="n">
        <x:v>0.3310365310365624</x:v>
      </x:c>
      <x:c r="C30" s="8" t="n">
        <x:v>0.1771604100496136</x:v>
      </x:c>
      <x:c r="D30" s="8" t="n">
        <x:v>0.09939130272977531</x:v>
      </x:c>
      <x:c r="E30" s="8" t="n">
        <x:v>-0.2140825998645902</x:v>
      </x:c>
      <x:c r="F30" s="8" t="n">
        <x:v>-0.01781564678543768</x:v>
      </x:c>
      <x:c r="G30" s="8" t="n">
        <x:v>0.1676914502415284</x:v>
      </x:c>
      <x:c r="H30" s="9">
        <x:f>H29*(1+G30)</x:f>
        <x:v>13.096547722278427</x:v>
      </x:c>
      <x:c r="I30" s="8" t="n">
        <x:v>0.08661572367245007</x:v>
      </x:c>
      <x:c r="J30" s="9">
        <x:f>J29*(1+I30)</x:f>
        <x:v>13.428472580896093</x:v>
      </x:c>
    </x:row>
    <x:row r="31">
      <x:c r="A31" s="4" t="n">
        <x:v>1998</x:v>
      </x:c>
      <x:c r="B31" s="5" t="n">
        <x:v>0.283379532784422</x:v>
      </x:c>
      <x:c r="C31" s="5" t="n">
        <x:v>0.1689857638224661</x:v>
      </x:c>
      <x:c r="D31" s="5" t="n">
        <x:v>0.1492143192260622</x:v>
      </x:c>
      <x:c r="E31" s="5" t="n">
        <x:v>-0.008270158511370584</x:v>
      </x:c>
      <x:c r="F31" s="5" t="n">
        <x:v>-0.03154574132492116</x:v>
      </x:c>
      <x:c r="G31" s="5" t="n">
        <x:v>0.1720041207605005</x:v>
      </x:c>
      <x:c r="H31" s="6">
        <x:f>H30*(1+G31)</x:f>
        <x:v>15.349207898246863</x:v>
      </x:c>
      <x:c r="I31" s="5" t="n">
        <x:v>0.1233439988802163</x:v>
      </x:c>
      <x:c r="J31" s="6">
        <x:f>J30*(1+I31)</x:f>
        <x:v>15.084794087877157</x:v>
      </x:c>
    </x:row>
    <x:row r="32">
      <x:c r="A32" s="7" t="n">
        <x:v>1999</x:v>
      </x:c>
      <x:c r="B32" s="8" t="n">
        <x:v>0.208853509920834</x:v>
      </x:c>
      <x:c r="C32" s="8" t="n">
        <x:v>-0.1146658774746716</x:v>
      </x:c>
      <x:c r="D32" s="8" t="n">
        <x:v>-0.08254214796268576</x:v>
      </x:c>
      <x:c r="E32" s="8" t="n">
        <x:v>0.008512856150092674</x:v>
      </x:c>
      <x:c r="F32" s="8" t="n">
        <x:v>0.04071661237785018</x:v>
      </x:c>
      <x:c r="G32" s="8" t="n">
        <x:v>0.008100589931574406</x:v>
      </x:c>
      <x:c r="H32" s="9">
        <x:f>H31*(1+G32)</x:f>
        <x:v>15.473545537205045</x:v>
      </x:c>
      <x:c r="I32" s="8" t="n">
        <x:v>0.03757600297186325</x:v>
      </x:c>
      <x:c r="J32" s="9">
        <x:f>J31*(1+I32)</x:f>
        <x:v>15.651620355353174</x:v>
      </x:c>
    </x:row>
    <x:row r="33">
      <x:c r="A33" s="4" t="n">
        <x:v>2000</x:v>
      </x:c>
      <x:c r="B33" s="5" t="n">
        <x:v>-0.0903181895525148</x:v>
      </x:c>
      <x:c r="C33" s="5" t="n">
        <x:v>0.2247743861025131</x:v>
      </x:c>
      <x:c r="D33" s="5" t="n">
        <x:v>0.1665526712539749</x:v>
      </x:c>
      <x:c r="E33" s="5" t="n">
        <x:v>-0.05443583118003004</x:v>
      </x:c>
      <x:c r="F33" s="5" t="n">
        <x:v>0.06572769953051627</x:v>
      </x:c>
      <x:c r="G33" s="5" t="n">
        <x:v>0.0886440883896335</x:v>
      </x:c>
      <x:c r="H33" s="6">
        <x:f>H32*(1+G33)</x:f>
        <x:v>16.84518387550607</x:v>
      </x:c>
      <x:c r="I33" s="5" t="n">
        <x:v>0.03501648615988784</x:v>
      </x:c>
      <x:c r="J33" s="6">
        <x:f>J32*(1+I33)</x:f>
        <x:v>16.199685102906216</x:v>
      </x:c>
    </x:row>
    <x:row r="34">
      <x:c r="A34" s="7" t="n">
        <x:v>2001</x:v>
      </x:c>
      <x:c r="B34" s="8" t="n">
        <x:v>-0.1184975914199938</x:v>
      </x:c>
      <x:c r="C34" s="8" t="n">
        <x:v>0.03138721700687408</x:v>
      </x:c>
      <x:c r="D34" s="8" t="n">
        <x:v>0.05572181189249256</x:v>
      </x:c>
      <x:c r="E34" s="8" t="n">
        <x:v>0.007469484423385131</x:v>
      </x:c>
      <x:c r="F34" s="8" t="n">
        <x:v>-0.05947136563876654</x:v>
      </x:c>
      <x:c r="G34" s="8" t="n">
        <x:v>-0.01853625993052823</x:v>
      </x:c>
      <x:c r="H34" s="9">
        <x:f>H33*(1+G34)</x:f>
        <x:v>16.532937168612147</x:v>
      </x:c>
      <x:c r="I34" s="8" t="n">
        <x:v>-0.01120781846070151</x:v>
      </x:c>
      <x:c r="J34" s="9">
        <x:f>J33*(1+I34)</x:f>
        <x:v>16.01812197315231</x:v>
      </x:c>
    </x:row>
    <x:row r="35">
      <x:c r="A35" s="4" t="n">
        <x:v>2002</x:v>
      </x:c>
      <x:c r="B35" s="5" t="n">
        <x:v>-0.2196604795791383</x:v>
      </x:c>
      <x:c r="C35" s="5" t="n">
        <x:v>0.09739999999999682</x:v>
      </x:c>
      <x:c r="D35" s="5" t="n">
        <x:v>0.1511640037810928</x:v>
      </x:c>
      <x:c r="E35" s="5" t="n">
        <x:v>0.255696202531668</x:v>
      </x:c>
      <x:c r="F35" s="5" t="n">
        <x:v>0.0374707259953162</x:v>
      </x:c>
      <x:c r="G35" s="5" t="n">
        <x:v>0.01772397633294498</x:v>
      </x:c>
      <x:c r="H35" s="6">
        <x:f>H34*(1+G35)</x:f>
        <x:v>16.825966555702692</x:v>
      </x:c>
      <x:c r="I35" s="5" t="n">
        <x:v>0.03742987554908273</x:v>
      </x:c>
      <x:c r="J35" s="6">
        <x:f>J34*(1+I35)</x:f>
        <x:v>16.61767828513743</x:v>
      </x:c>
    </x:row>
    <x:row r="36">
      <x:c r="A36" s="7" t="n">
        <x:v>2003</x:v>
      </x:c>
      <x:c r="B36" s="8" t="n">
        <x:v>0.2835580005000904</x:v>
      </x:c>
      <x:c r="C36" s="8" t="n">
        <x:v>0.01609999999999556</x:v>
      </x:c>
      <x:c r="D36" s="8" t="n">
        <x:v>0.003753185881775853</x:v>
      </x:c>
      <x:c r="E36" s="8" t="n">
        <x:v>0.1988767281105761</x:v>
      </x:c>
      <x:c r="F36" s="8" t="n">
        <x:v>0.04966139954853266</x:v>
      </x:c>
      <x:c r="G36" s="8" t="n">
        <x:v>0.1107107376067249</x:v>
      </x:c>
      <x:c r="H36" s="9">
        <x:f>H35*(1+G36)</x:f>
        <x:v>18.688781724030623</x:v>
      </x:c>
      <x:c r="I36" s="8" t="n">
        <x:v>0.1271848738403851</x:v>
      </x:c>
      <x:c r="J36" s="9">
        <x:f>J35*(1+I36)</x:f>
        <x:v>18.73119560135274</x:v>
      </x:c>
    </x:row>
    <x:row r="37">
      <x:c r="A37" s="4" t="n">
        <x:v>2004</x:v>
      </x:c>
      <x:c r="B37" s="5" t="n">
        <x:v>0.1074277594409638</x:v>
      </x:c>
      <x:c r="C37" s="5" t="n">
        <x:v>0.08709999999999507</x:v>
      </x:c>
      <x:c r="D37" s="5" t="n">
        <x:v>0.04490683702274547</x:v>
      </x:c>
      <x:c r="E37" s="5" t="n">
        <x:v>0.04648648648651488</x:v>
      </x:c>
      <x:c r="F37" s="5" t="n">
        <x:v>0.07670250896057329</x:v>
      </x:c>
      <x:c r="G37" s="5" t="n">
        <x:v>0.0830435280442306</x:v>
      </x:c>
      <x:c r="H37" s="6">
        <x:f>H36*(1+G37)</x:f>
        <x:v>20.240764093242664</x:v>
      </x:c>
      <x:c r="I37" s="5" t="n">
        <x:v>0.06373627411140181</x:v>
      </x:c>
      <x:c r="J37" s="6">
        <x:f>J36*(1+I37)</x:f>
        <x:v>19.925052218634843</x:v>
      </x:c>
    </x:row>
    <x:row r="38">
      <x:c r="A38" s="7" t="n">
        <x:v>2005</x:v>
      </x:c>
      <x:c r="B38" s="8" t="n">
        <x:v>0.04834477523270841</x:v>
      </x:c>
      <x:c r="C38" s="8" t="n">
        <x:v>0.08599999999999786</x:v>
      </x:c>
      <x:c r="D38" s="8" t="n">
        <x:v>0.02867532959777951</x:v>
      </x:c>
      <x:c r="E38" s="8" t="n">
        <x:v>0.1776859504132362</x:v>
      </x:c>
      <x:c r="F38" s="8" t="n">
        <x:v>0.08521970705725712</x:v>
      </x:c>
      <x:c r="G38" s="8" t="n">
        <x:v>0.07292265631976559</x:v>
      </x:c>
      <x:c r="H38" s="9">
        <x:f>H37*(1+G38)</x:f>
        <x:v>21.71677437686365</x:v>
      </x:c>
      <x:c r="I38" s="8" t="n">
        <x:v>0.08602092838107422</x:v>
      </x:c>
      <x:c r="J38" s="9">
        <x:f>J37*(1+I38)</x:f>
        <x:v>21.639023708523194</x:v>
      </x:c>
    </x:row>
    <x:row r="39">
      <x:c r="A39" s="4" t="n">
        <x:v>2006</x:v>
      </x:c>
      <x:c r="B39" s="5" t="n">
        <x:v>0.1561255797931862</x:v>
      </x:c>
      <x:c r="C39" s="5" t="n">
        <x:v>0.007099999999996998</x:v>
      </x:c>
      <x:c r="D39" s="5" t="n">
        <x:v>0.01961001241756839</x:v>
      </x:c>
      <x:c r="E39" s="5" t="n">
        <x:v>0.2319688109162021</x:v>
      </x:c>
      <x:c r="F39" s="5" t="n">
        <x:v>0.01595092024539868</x:v>
      </x:c>
      <x:c r="G39" s="5" t="n">
        <x:v>0.07121315563770998</x:v>
      </x:c>
      <x:c r="H39" s="6">
        <x:f>H38*(1+G39)</x:f>
        <x:v>23.263294410512273</x:v>
      </x:c>
      <x:c r="I39" s="5" t="n">
        <x:v>0.1108994277490509</x:v>
      </x:c>
      <x:c r="J39" s="6">
        <x:f>J38*(1+I39)</x:f>
        <x:v>24.03877905484656</x:v>
      </x:c>
    </x:row>
    <x:row r="40">
      <x:c r="A40" s="7" t="n">
        <x:v>2007</x:v>
      </x:c>
      <x:c r="B40" s="8" t="n">
        <x:v>0.05484735246420769</x:v>
      </x:c>
      <x:c r="C40" s="8" t="n">
        <x:v>0.1031000000000004</x:v>
      </x:c>
      <x:c r="D40" s="8" t="n">
        <x:v>0.1020992193001281</x:v>
      </x:c>
      <x:c r="E40" s="8" t="n">
        <x:v>0.3192246835442809</x:v>
      </x:c>
      <x:c r="F40" s="8" t="n">
        <x:v>0.0785024154589371</x:v>
      </x:c>
      <x:c r="G40" s="8" t="n">
        <x:v>0.102838621059523</x:v>
      </x:c>
      <x:c r="H40" s="9">
        <x:f>H39*(1+G40)</x:f>
        <x:v>25.655659528991063</x:v>
      </x:c>
      <x:c r="I40" s="8" t="n">
        <x:v>0.1304613162140431</x:v>
      </x:c>
      <x:c r="J40" s="9">
        <x:f>J39*(1+I40)</x:f>
        <x:v>27.174909810520415</x:v>
      </x:c>
    </x:row>
    <x:row r="41">
      <x:c r="A41" s="4" t="n">
        <x:v>2008</x:v>
      </x:c>
      <x:c r="B41" s="5" t="n">
        <x:v>-0.3655234411179821</x:v>
      </x:c>
      <x:c r="C41" s="5" t="n">
        <x:v>0.3394999999999964</x:v>
      </x:c>
      <x:c r="D41" s="5" t="n">
        <x:v>0.2010127992697701</x:v>
      </x:c>
      <x:c r="E41" s="5" t="n">
        <x:v>0.04317841079460849</x:v>
      </x:c>
      <x:c r="F41" s="5" t="n">
        <x:v>-0.04311310190369533</x:v>
      </x:c>
      <x:c r="G41" s="5" t="n">
        <x:v>0.05629978572188795</x:v>
      </x:c>
      <x:c r="H41" s="6">
        <x:f>H40*(1+G41)</x:f>
        <x:v>27.10006766302697</x:v>
      </x:c>
      <x:c r="I41" s="5" t="n">
        <x:v>0.007759101765659304</x:v>
      </x:c>
      <x:c r="J41" s="6">
        <x:f>J40*(1+I41)</x:f>
        <x:v>27.385762701212855</x:v>
      </x:c>
    </x:row>
    <x:row r="42">
      <x:c r="A42" s="7" t="n">
        <x:v>2009</x:v>
      </x:c>
      <x:c r="B42" s="8" t="n">
        <x:v>0.2593523387766485</x:v>
      </x:c>
      <x:c r="C42" s="8" t="n">
        <x:v>-0.2181000000000014</x:v>
      </x:c>
      <x:c r="D42" s="8" t="n">
        <x:v>-0.1111669531325916</x:v>
      </x:c>
      <x:c r="E42" s="8" t="n">
        <x:v>0.2503592986490677</x:v>
      </x:c>
      <x:c r="F42" s="8" t="n">
        <x:v>0.0421299005266238</x:v>
      </x:c>
      <x:c r="G42" s="8" t="n">
        <x:v>-0.004172651398717909</x:v>
      </x:c>
      <x:c r="H42" s="9">
        <x:f>H41*(1+G42)</x:f>
        <x:v>26.98698852778749</x:v>
      </x:c>
      <x:c r="I42" s="8" t="n">
        <x:v>0.07327575474892956</x:v>
      </x:c>
      <x:c r="J42" s="9">
        <x:f>J41*(1+I42)</x:f>
        <x:v>29.392475132519312</x:v>
      </x:c>
    </x:row>
    <x:row r="43">
      <x:c r="A43" s="4" t="n">
        <x:v>2010</x:v>
      </x:c>
      <x:c r="B43" s="5" t="n">
        <x:v>0.1482109227871886</x:v>
      </x:c>
      <x:c r="C43" s="5" t="n">
        <x:v>0.09009999999999585</x:v>
      </x:c>
      <x:c r="D43" s="5" t="n">
        <x:v>0.08462933880355772</x:v>
      </x:c>
      <x:c r="E43" s="5" t="n">
        <x:v>0.2924137931034503</x:v>
      </x:c>
      <x:c r="F43" s="5" t="n">
        <x:v>0.06513194834362723</x:v>
      </x:c>
      <x:c r="G43" s="5" t="n">
        <x:v>0.1200136082652194</x:v>
      </x:c>
      <x:c r="H43" s="6">
        <x:f>H42*(1+G43)</x:f>
        <x:v>30.225794397219346</x:v>
      </x:c>
      <x:c r="I43" s="5" t="n">
        <x:v>0.1330259290136386</x:v>
      </x:c>
      <x:c r="J43" s="6">
        <x:f>J42*(1+I43)</x:f>
        <x:v>33.30243644303297</x:v>
      </x:c>
    </x:row>
    <x:row r="44">
      <x:c r="A44" s="7" t="n">
        <x:v>2011</x:v>
      </x:c>
      <x:c r="B44" s="8" t="n">
        <x:v>0.02098374733629327</x:v>
      </x:c>
      <x:c r="C44" s="8" t="n">
        <x:v>0.3399999999999996</x:v>
      </x:c>
      <x:c r="D44" s="8" t="n">
        <x:v>0.1603533499946135</x:v>
      </x:c>
      <x:c r="E44" s="8" t="n">
        <x:v>0.1202419067947269</x:v>
      </x:c>
      <x:c r="F44" s="8" t="n">
        <x:v>0.05324196099103862</x:v>
      </x:c>
      <x:c r="G44" s="8" t="n">
        <x:v>0.1793594167840123</x:v>
      </x:c>
      <x:c r="H44" s="9">
        <x:f>H43*(1+G44)</x:f>
        <x:v>35.64707525213807</x:v>
      </x:c>
      <x:c r="I44" s="8" t="n">
        <x:v>0.1204364470075825</x:v>
      </x:c>
      <x:c r="J44" s="9">
        <x:f>J43*(1+I44)</x:f>
        <x:v>37.31326356492769</x:v>
      </x:c>
    </x:row>
    <x:row r="45">
      <x:c r="A45" s="4" t="n">
        <x:v>2012</x:v>
      </x:c>
      <x:c r="B45" s="5" t="n">
        <x:v>0.1589058524172862</x:v>
      </x:c>
      <x:c r="C45" s="5" t="n">
        <x:v>0.02629999999999999</x:v>
      </x:c>
      <x:c r="D45" s="5" t="n">
        <x:v>0.02971571978018946</x:v>
      </x:c>
      <x:c r="E45" s="5" t="n">
        <x:v>0.05684344236265026</x:v>
      </x:c>
      <x:c r="F45" s="5" t="n">
        <x:v>0.008508508508508372</x:v>
      </x:c>
      <x:c r="G45" s="5" t="n">
        <x:v>0.06755051000755118</x:v>
      </x:c>
      <x:c r="H45" s="6">
        <x:f>H44*(1+G45)</x:f>
        <x:v>38.05505336569755</x:v>
      </x:c>
      <x:c r="I45" s="5" t="n">
        <x:v>0.06073082135024022</x:v>
      </x:c>
      <x:c r="J45" s="6">
        <x:f>J44*(1+I45)</x:f>
        <x:v>39.579328708483736</x:v>
      </x:c>
    </x:row>
    <x:row r="46">
      <x:c r="A46" s="7" t="n">
        <x:v>2013</x:v>
      </x:c>
      <x:c r="B46" s="8" t="n">
        <x:v>0.3214508585812739</x:v>
      </x:c>
      <x:c r="C46" s="8" t="n">
        <x:v>-0.1338000000000024</x:v>
      </x:c>
      <x:c r="D46" s="8" t="n">
        <x:v>-0.09104568794347262</x:v>
      </x:c>
      <x:c r="E46" s="8" t="n">
        <x:v>-0.2761418269230809</x:v>
      </x:c>
      <x:c r="F46" s="8" t="n">
        <x:v>0.002481389578163684</x:v>
      </x:c>
      <x:c r="G46" s="8" t="n">
        <x:v>0.008733871581991536</x:v>
      </x:c>
      <x:c r="H46" s="9">
        <x:f>H45*(1+G46)</x:f>
        <x:v>38.38742131483939</x:v>
      </x:c>
      <x:c r="I46" s="8" t="n">
        <x:v>-0.0219794374020692</x:v>
      </x:c>
      <x:c r="J46" s="9">
        <x:f>J45*(1+I46)</x:f>
        <x:v>38.709397330719696</x:v>
      </x:c>
    </x:row>
    <x:row r="47">
      <x:c r="A47" s="4" t="n">
        <x:v>2014</x:v>
      </x:c>
      <x:c r="B47" s="5" t="n">
        <x:v>0.1352442164946166</x:v>
      </x:c>
      <x:c r="C47" s="5" t="n">
        <x:v>0.2730999999999979</x:v>
      </x:c>
      <x:c r="D47" s="5" t="n">
        <x:v>0.1074618045200476</x:v>
      </x:c>
      <x:c r="E47" s="5" t="n">
        <x:v>0.001245330012461299</x:v>
      </x:c>
      <x:c r="F47" s="5" t="n">
        <x:v>-0.02475247524752477</x:v>
      </x:c>
      <x:c r="G47" s="5" t="n">
        <x:v>0.1641694997337615</x:v>
      </x:c>
      <x:c r="H47" s="6">
        <x:f>H46*(1+G47)</x:f>
        <x:v>44.68946506816571</x:v>
      </x:c>
      <x:c r="I47" s="5" t="n">
        <x:v>0.102477816145546</x:v>
      </x:c>
      <x:c r="J47" s="6">
        <x:f>J46*(1+I47)</x:f>
        <x:v>42.67625183348208</x:v>
      </x:c>
    </x:row>
    <x:row r="48">
      <x:c r="A48" s="7" t="n">
        <x:v>2015</x:v>
      </x:c>
      <x:c r="B48" s="8" t="n">
        <x:v>0.01378891641166646</x:v>
      </x:c>
      <x:c r="C48" s="8" t="n">
        <x:v>-0.01790000000000325</x:v>
      </x:c>
      <x:c r="D48" s="8" t="n">
        <x:v>0.01284299670979222</x:v>
      </x:c>
      <x:c r="E48" s="8" t="n">
        <x:v>-0.1210613598673417</x:v>
      </x:c>
      <x:c r="F48" s="8" t="n">
        <x:v>-0.06852791878172593</x:v>
      </x:c>
      <x:c r="G48" s="8" t="n">
        <x:v>-0.0153160714687126</x:v>
      </x:c>
      <x:c r="H48" s="9">
        <x:f>H47*(1+G48)</x:f>
        <x:v>44.00499802728315</x:v>
      </x:c>
      <x:c r="I48" s="8" t="n">
        <x:v>-0.03116627356887758</x:v>
      </x:c>
      <x:c r="J48" s="9">
        <x:f>J47*(1+I48)</x:f>
        <x:v>41.34619209394546</x:v>
      </x:c>
    </x:row>
    <x:row r="49">
      <x:c r="A49" s="4" t="n">
        <x:v>2016</x:v>
      </x:c>
      <x:c r="B49" s="5" t="n">
        <x:v>0.1177308087480102</x:v>
      </x:c>
      <x:c r="C49" s="5" t="n">
        <x:v>0.01170000000000404</x:v>
      </x:c>
      <x:c r="D49" s="5" t="n">
        <x:v>0.006905504698747792</x:v>
      </x:c>
      <x:c r="E49" s="5" t="n">
        <x:v>0.08103773584904128</x:v>
      </x:c>
      <x:c r="F49" s="5" t="n">
        <x:v>0.02561307901907361</x:v>
      </x:c>
      <x:c r="G49" s="5" t="n">
        <x:v>0.04903387944432545</x:v>
      </x:c>
      <x:c r="H49" s="6">
        <x:f>H48*(1+G49)</x:f>
        <x:v>46.162733795500735</x:v>
      </x:c>
      <x:c r="I49" s="5" t="n">
        <x:v>0.05340698518085563</x:v>
      </x:c>
      <x:c r="J49" s="6">
        <x:f>J48*(1+I49)</x:f>
        <x:v>43.55436756239162</x:v>
      </x:c>
    </x:row>
    <x:row r="50">
      <x:c r="A50" s="7" t="n">
        <x:v>2017</x:v>
      </x:c>
      <x:c r="B50" s="8" t="n">
        <x:v>0.216054814344985</x:v>
      </x:c>
      <x:c r="C50" s="8" t="n">
        <x:v>0.09179999999999433</x:v>
      </x:c>
      <x:c r="D50" s="8" t="n">
        <x:v>0.02801716270778946</x:v>
      </x:c>
      <x:c r="E50" s="8" t="n">
        <x:v>0.1266253599790976</x:v>
      </x:c>
      <x:c r="F50" s="8" t="n">
        <x:v>0.04303931987247611</x:v>
      </x:c>
      <x:c r="G50" s="8" t="n">
        <x:v>0.1184638696985297</x:v>
      </x:c>
      <x:c r="H50" s="9">
        <x:f>H49*(1+G50)</x:f>
        <x:v>51.63134987677884</x:v>
      </x:c>
      <x:c r="I50" s="8" t="n">
        <x:v>0.1109565967705046</x:v>
      </x:c>
      <x:c r="J50" s="9">
        <x:f>J49*(1+I50)</x:f>
        <x:v>48.387011961606255</x:v>
      </x:c>
    </x:row>
    <x:row r="51">
      <x:c r="A51" s="4" t="n">
        <x:v>2018</x:v>
      </x:c>
      <x:c r="B51" s="5" t="n">
        <x:v>-0.04226869289088797</x:v>
      </x:c>
      <x:c r="C51" s="5" t="n">
        <x:v>-0.01610000000000278</x:v>
      </x:c>
      <x:c r="D51" s="5" t="n">
        <x:v>-0.0001669238571340263</x:v>
      </x:c>
      <x:c r="E51" s="5" t="n">
        <x:v>-0.009295120061928563</x:v>
      </x:c>
      <x:c r="F51" s="5" t="n">
        <x:v>0.0239429444727457</x:v>
      </x:c>
      <x:c r="G51" s="5" t="n">
        <x:v>-0.01804705961502632</x:v>
      </x:c>
      <x:c r="H51" s="6">
        <x:f>H50*(1+G51)</x:f>
        <x:v>50.69955582754833</x:v>
      </x:c>
      <x:c r="I51" s="5" t="n">
        <x:v>-0.01198820884172003</x:v>
      </x:c>
      <x:c r="J51" s="6">
        <x:f>J50*(1+I51)</x:f>
        <x:v>47.806938356983714</x:v>
      </x:c>
    </x:row>
    <x:row r="52">
      <x:c r="A52" s="7" t="n">
        <x:v>2019</x:v>
      </x:c>
      <x:c r="B52" s="8" t="n">
        <x:v>0.3121167999680861</x:v>
      </x:c>
      <x:c r="C52" s="8" t="n">
        <x:v>0.1411999999999969</x:v>
      </x:c>
      <x:c r="D52" s="8" t="n">
        <x:v>0.09635630741548393</x:v>
      </x:c>
      <x:c r="E52" s="8" t="n">
        <x:v>0.1907740422204824</x:v>
      </x:c>
      <x:c r="F52" s="8" t="n">
        <x:v>-0.00995024875621886</x:v>
      </x:c>
      <x:c r="G52" s="8" t="n">
        <x:v>0.1781302706125669</x:v>
      </x:c>
      <x:c r="H52" s="9">
        <x:f>H51*(1+G52)</x:f>
        <x:v>59.730681427046456</x:v>
      </x:c>
      <x:c r="I52" s="8" t="n">
        <x:v>0.1662650251639768</x:v>
      </x:c>
      <x:c r="J52" s="9">
        <x:f>J51*(1+I52)</x:f>
        <x:v>55.7555601659203</x:v>
      </x:c>
    </x:row>
    <x:row r="53">
      <x:c r="A53" s="4" t="n">
        <x:v>2020</x:v>
      </x:c>
      <x:c r="B53" s="5" t="n">
        <x:v>0.1802320182742303</x:v>
      </x:c>
      <x:c r="C53" s="5" t="n">
        <x:v>0.1814999999999976</x:v>
      </x:c>
      <x:c r="D53" s="5" t="n">
        <x:v>0.1133189764661412</x:v>
      </x:c>
      <x:c r="E53" s="5" t="n">
        <x:v>0.2416940249507775</x:v>
      </x:c>
      <x:c r="F53" s="5" t="n">
        <x:v>0.007537688442211143</x:v>
      </x:c>
      <x:c r="G53" s="5" t="n">
        <x:v>0.1623598304566634</x:v>
      </x:c>
      <x:c r="H53" s="6">
        <x:f>H52*(1+G53)</x:f>
        <x:v>69.42854473660269</x:v>
      </x:c>
      <x:c r="I53" s="5" t="n">
        <x:v>0.1517626339043554</x:v>
      </x:c>
      <x:c r="J53" s="6">
        <x:f>J52*(1+I53)</x:f>
        <x:v>64.21717083151313</x:v>
      </x:c>
    </x:row>
    <x:row r="54">
      <x:c r="A54" s="7" t="n">
        <x:v>2021</x:v>
      </x:c>
      <x:c r="B54" s="8" t="n">
        <x:v>0.2846885175196687</x:v>
      </x:c>
      <x:c r="C54" s="8" t="n">
        <x:v>-0.04600000000000271</x:v>
      </x:c>
      <x:c r="D54" s="8" t="n">
        <x:v>-0.04416034448604475</x:v>
      </x:c>
      <x:c r="E54" s="8" t="n">
        <x:v>-0.03754428639416041</x:v>
      </x:c>
      <x:c r="F54" s="8" t="n">
        <x:v>0.2036807980049875</x:v>
      </x:c>
      <x:c r="G54" s="8" t="n">
        <x:v>0.07284274195380484</x:v>
      </x:c>
      <x:c r="H54" s="9">
        <x:f>H53*(1+G54)</x:f>
        <x:v>74.48591030507924</x:v>
      </x:c>
      <x:c r="I54" s="8" t="n">
        <x:v>0.05039872188394012</x:v>
      </x:c>
      <x:c r="J54" s="9">
        <x:f>J53*(1+I54)</x:f>
        <x:v>67.45363416442403</x:v>
      </x:c>
    </x:row>
    <x:row r="55">
      <x:c r="A55" s="4" t="n">
        <x:v>2022</x:v>
      </x:c>
      <x:c r="B55" s="5" t="n">
        <x:v>-0.1803750592718003</x:v>
      </x:c>
      <x:c r="C55" s="5" t="n">
        <x:v>-0.3123000000000018</x:v>
      </x:c>
      <x:c r="D55" s="5" t="n">
        <x:v>-0.1782817153825067</x:v>
      </x:c>
      <x:c r="E55" s="5" t="n">
        <x:v>0.005494203615180826</x:v>
      </x:c>
      <x:c r="F55" s="5" t="n">
        <x:v>0.06861331410718585</x:v>
      </x:c>
      <x:c r="G55" s="5" t="n">
        <x:v>-0.2002167112597393</x:v>
      </x:c>
      <x:c r="H55" s="6">
        <x:f>H54*(1+G55)</x:f>
        <x:v>59.57258630860836</x:v>
      </x:c>
      <x:c r="I55" s="5" t="n">
        <x:v>-0.1166974056723642</x:v>
      </x:c>
      <x:c r="J55" s="6">
        <x:f>J54*(1+I55)</x:f>
        <x:v>59.581970054262996</x:v>
      </x:c>
    </x:row>
    <x:row r="56">
      <x:c r="A56" s="7" t="n">
        <x:v>2023</x:v>
      </x:c>
      <x:c r="B56" s="8" t="n">
        <x:v>0.2606068498502412</x:v>
      </x:c>
      <x:c r="C56" s="8" t="n">
        <x:v>0.02769999999999917</x:v>
      </x:c>
      <x:c r="D56" s="8" t="n">
        <x:v>0.0388</x:v>
      </x:c>
      <x:c r="E56" s="8" t="n">
        <x:v>0.1326211682421647</x:v>
      </x:c>
      <x:c r="F56" s="8" t="n">
        <x:v>-0.03114033897253543</x:v>
      </x:c>
      <x:c r="G56" s="8" t="n">
        <x:v>0.1026931171502942</x:v>
      </x:c>
      <x:c r="H56" s="9">
        <x:f>H55*(1+G56)</x:f>
        <x:v>65.6902808933443</x:v>
      </x:c>
      <x:c r="I56" s="8" t="n">
        <x:v>0.1182255323302277</x:v>
      </x:c>
      <x:c r="J56" s="9">
        <x:f>J55*(1+I56)</x:f>
        <x:v>66.62608018121192</x:v>
      </x:c>
    </x:row>
    <x:row r="57">
      <x:c r="A57" s="4" t="n">
        <x:v>2024</x:v>
      </x:c>
      <x:c r="B57" s="5" t="n">
        <x:v>0.2487861126252762</x:v>
      </x:c>
      <x:c r="C57" s="5" t="n">
        <x:v>-0.08050000000000246</x:v>
      </x:c>
      <x:c r="D57" s="5" t="n">
        <x:v>-0.01637180143662981</x:v>
      </x:c>
      <x:c r="E57" s="5" t="n">
        <x:v>0.2595703417100417</x:v>
      </x:c>
      <x:c r="F57" s="5" t="n">
        <x:v>0.0142356302978397</x:v>
      </x:c>
      <x:c r="G57" s="5" t="n">
        <x:v>0.0605155114726785</x:v>
      </x:c>
      <x:c r="H57" s="6">
        <x:f>H56*(1+G57)</x:f>
        <x:v>69.66556184038895</x:v>
      </x:c>
      <x:c r="I57" s="5" t="n">
        <x:v>0.11984353569089</x:v>
      </x:c>
      <x:c r="J57" s="6">
        <x:f>J56*(1+I57)</x:f>
        <x:v>74.61078519935309</x:v>
      </x:c>
    </x:row>
    <x:row r="58">
      <x:c r="A58" s="7" t="n">
        <x:v>2025</x:v>
      </x:c>
      <x:c r="B58" s="8" t="n">
        <x:v>0.1772365823759854</x:v>
      </x:c>
      <x:c r="C58" s="8" t="n">
        <x:v>0.04249999999999732</x:v>
      </x:c>
      <x:c r="D58" s="8" t="n">
        <x:v>0.07795480870767396</x:v>
      </x:c>
      <x:c r="E58" s="8" t="n">
        <x:v>0.6621579179194303</x:v>
      </x:c>
      <x:c r="F58" s="8" t="n">
        <x:v>0.03127577212802302</x:v>
      </x:c>
      <x:c r="G58" s="8" t="n">
        <x:v>0.1338717227725046</x:v>
      </x:c>
      <x:c r="H58" s="9">
        <x:f>H57*(1+G58)</x:f>
        <x:v>78.99181062187627</x:v>
      </x:c>
      <x:c r="I58" s="8" t="n">
        <x:v>0.2309325578320967</x:v>
      </x:c>
      <x:c r="J58" s="9">
        <x:f>J57*(1+I58)</x:f>
        <x:v>91.84084466730084</x:v>
      </x:c>
    </x:row>
    <x:row r="60">
      <x:c r="A60" s="10" t="inlineStr">
        <x:is>
          <x:t xml:space="preserve">Average annual return</x:t>
        </x:is>
      </x:c>
      <x:c r="B60" s="11">
        <x:f>AVERAGE(B5:B58)</x:f>
        <x:v>0.12481035580169672</x:v>
      </x:c>
      <x:c r="C60" s="11">
        <x:f>AVERAGE(C5:C58)</x:f>
        <x:v>0.07369759010763567</x:v>
      </x:c>
      <x:c r="D60" s="11">
        <x:f>AVERAGE(D5:D58)</x:f>
        <x:v>0.06339019816858306</x:v>
      </x:c>
      <x:c r="E60" s="11">
        <x:f>AVERAGE(E5:E58)</x:f>
        <x:v>0.11704582997329381</x:v>
      </x:c>
      <x:c r="F60" s="11">
        <x:f>AVERAGE(F5:F58)</x:f>
        <x:v>0.037508811322313554</x:v>
      </x:c>
      <x:c r="G60" s="11">
        <x:f>AVERAGE(G5:G58)</x:f>
        <x:v>0.0880222706060213</x:v>
      </x:c>
      <x:c r="H60" s="12" t="n"/>
      <x:c r="I60" s="11">
        <x:f>AVERAGE(I5:I58)</x:f>
        <x:v>0.09036477302479666</x:v>
      </x:c>
      <x:c r="J60" s="12" t="n"/>
    </x:row>
    <x:row r="61">
      <x:c r="A61" s="10" t="inlineStr">
        <x:is>
          <x:t xml:space="preserve">CAGR</x:t>
        </x:is>
      </x:c>
      <x:c r="B61" s="11">
        <x:f>(PRODUCT(1+B5:B58)^(1/COUNT($A$5:$A$58)))-1</x:f>
        <x:v>0.11060513738261091</x:v>
      </x:c>
      <x:c r="C61" s="11">
        <x:f>(PRODUCT(1+C5:C58)^(1/COUNT($A$5:$A$58)))-1</x:f>
        <x:v>0.06370458197049889</x:v>
      </x:c>
      <x:c r="D61" s="11">
        <x:f>(PRODUCT(1+D5:D58)^(1/COUNT($A$5:$A$58)))-1</x:f>
        <x:v>0.058980392726171615</x:v>
      </x:c>
      <x:c r="E61" s="11">
        <x:f>(PRODUCT(1+E5:E58)^(1/COUNT($A$5:$A$58)))-1</x:f>
        <x:v>0.08891934625016695</x:v>
      </x:c>
      <x:c r="F61" s="11">
        <x:f>(PRODUCT(1+F5:F58)^(1/COUNT($A$5:$A$58)))-1</x:f>
        <x:v>0.036053310002053474</x:v>
      </x:c>
      <x:c r="G61" s="11">
        <x:f>(PRODUCT(1+G5:G58)^(1/COUNT($A$5:$A$58)))-1</x:f>
        <x:v>0.08427740742515266</x:v>
      </x:c>
      <x:c r="H61" s="11">
        <x:f>H58^(1/COUNT($A$5:$A$58))-1</x:f>
        <x:v>0.08427740742515266</x:v>
      </x:c>
      <x:c r="I61" s="11">
        <x:f>(PRODUCT(1+I5:I58)^(1/COUNT($A$5:$A$58)))-1</x:f>
        <x:v>0.0873078314579856</x:v>
      </x:c>
      <x:c r="J61" s="11">
        <x:f>J58^(1/COUNT($A$5:$A$58))-1</x:f>
        <x:v>0.0873078314579856</x:v>
      </x:c>
    </x:row>
    <x:row r="62">
      <x:c r="A62" s="10" t="inlineStr">
        <x:is>
          <x:t xml:space="preserve">Cumulative return</x:t>
        </x:is>
      </x:c>
      <x:c r="B62" s="11">
        <x:f>PRODUCT(1+B5:B58)-1</x:f>
        <x:v>287.551021622989</x:v>
      </x:c>
      <x:c r="C62" s="11">
        <x:f>PRODUCT(1+C5:C58)-1</x:f>
        <x:v>27.076024951368865</x:v>
      </x:c>
      <x:c r="D62" s="11">
        <x:f>PRODUCT(1+D5:D58)-1</x:f>
        <x:v>21.077385053636185</x:v>
      </x:c>
      <x:c r="E62" s="11">
        <x:f>PRODUCT(1+E5:E58)-1</x:f>
        <x:v>98.48750573133756</x:v>
      </x:c>
      <x:c r="F62" s="11">
        <x:f>PRODUCT(1+F5:F58)-1</x:f>
        <x:v>5.770699481865281</x:v>
      </x:c>
      <x:c r="G62" s="11">
        <x:f>PRODUCT(1+G5:G58)-1</x:f>
        <x:v>77.99181062187627</x:v>
      </x:c>
      <x:c r="H62" s="13">
        <x:f>H58</x:f>
        <x:v>78.99181062187627</x:v>
      </x:c>
      <x:c r="I62" s="11">
        <x:f>PRODUCT(1+I5:I58)-1</x:f>
        <x:v>90.84084466730084</x:v>
      </x:c>
      <x:c r="J62" s="13">
        <x:f>J58</x:f>
        <x:v>91.84084466730084</x:v>
      </x:c>
    </x:row>
  </x:sheetData>
  <x:mergeCells>
    <x:mergeCell ref="A1:J1"/>
    <x:mergeCell ref="A2:J2"/>
  </x:mergeCells>
  <x:pageMargins left="0.7" right="0.7" top="0.75" bottom="0.75" header="0.3" footer="0.3"/>
  <x:legacyDrawing xmlns:r="http://schemas.openxmlformats.org/officeDocument/2006/relationships" r:id="R8d9ddde0204d45c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10" customWidth="1"/>
  </x:cols>
  <x:sheetData>
    <x:row r="1">
      <x:c r="A1" s="14" t="inlineStr">
        <x:is>
          <x:t xml:space="preserve">Methodology</x:t>
        </x:is>
      </x:c>
    </x:row>
    <x:row r="3">
      <x:c r="A3" s="15" t="inlineStr">
        <x:is>
          <x:t xml:space="preserve">Item</x:t>
        </x:is>
      </x:c>
      <x:c r="B3" s="15" t="inlineStr">
        <x:is>
          <x:t xml:space="preserve">Details</x:t>
        </x:is>
      </x:c>
    </x:row>
    <x:row r="4">
      <x:c r="A4" s="16" t="inlineStr">
        <x:is>
          <x:t xml:space="preserve">Portfolio definition</x:t>
        </x:is>
      </x:c>
      <x:c r="B4" s="17" t="inlineStr">
        <x:is>
          <x:t xml:space="preserve">DIY All Weather approximation: 30% stocks, 40% long Treasuries, 15% intermediate Treasuries, 7.5% gold, 7.5% commodities.</x:t>
        </x:is>
      </x:c>
    </x:row>
    <x:row r="5">
      <x:c r="A5" s="16" t="inlineStr">
        <x:is>
          <x:t xml:space="preserve">Stocks proxy</x:t>
        </x:is>
      </x:c>
      <x:c r="B5" s="17" t="inlineStr">
        <x:is>
          <x:t xml:space="preserve">Same stocks annual series used in the revised Permanent Portfolio workbook (1972–2025).</x:t>
        </x:is>
      </x:c>
    </x:row>
    <x:row r="6">
      <x:c r="A6" s="16" t="inlineStr">
        <x:is>
          <x:t xml:space="preserve">Long Treasury proxy</x:t>
        </x:is>
      </x:c>
      <x:c r="B6" s="17" t="inlineStr">
        <x:is>
          <x:t xml:space="preserve">Same TLT-style long Treasury annual series used in the revised Permanent Portfolio workbook.</x:t>
        </x:is>
      </x:c>
    </x:row>
    <x:row r="7">
      <x:c r="A7" s="16" t="inlineStr">
        <x:is>
          <x:t xml:space="preserve">Intermediate Treasury proxy</x:t>
        </x:is>
      </x:c>
      <x:c r="B7" s="17" t="inlineStr">
        <x:is>
          <x:t xml:space="preserve">10-year Treasury annual return series used as an intermediate-duration proxy.</x:t>
        </x:is>
      </x:c>
    </x:row>
    <x:row r="8">
      <x:c r="A8" s="16" t="inlineStr">
        <x:is>
          <x:t xml:space="preserve">Gold proxy</x:t>
        </x:is>
      </x:c>
      <x:c r="B8" s="17" t="inlineStr">
        <x:is>
          <x:t xml:space="preserve">Same annual gold return series used in the revised Permanent Portfolio workbook.</x:t>
        </x:is>
      </x:c>
    </x:row>
    <x:row r="9">
      <x:c r="A9" s="16" t="inlineStr">
        <x:is>
          <x:t xml:space="preserve">Commodities proxy</x:t>
        </x:is>
      </x:c>
      <x:c r="B9" s="17" t="inlineStr">
        <x:is>
          <x:t xml:space="preserve">BLS Producer Price Index, All Commodities (WPU00000000), using December-to-December percent change as a long-run commodity proxy.</x:t>
        </x:is>
      </x:c>
    </x:row>
    <x:row r="10">
      <x:c r="A10" s="16" t="inlineStr">
        <x:is>
          <x:t xml:space="preserve">Rebalancing</x:t>
        </x:is>
      </x:c>
      <x:c r="B10" s="17" t="inlineStr">
        <x:is>
          <x:t xml:space="preserve">Annual returns shown for each sleeve and the portfolio; annual portfolio return is the weighted sum of sleeve returns for each year.</x:t>
        </x:is>
      </x:c>
    </x:row>
    <x:row r="11">
      <x:c r="A11" s="16" t="inlineStr">
        <x:is>
          <x:t xml:space="preserve">Caveat</x:t>
        </x:is>
      </x:c>
      <x:c r="B11" s="17" t="inlineStr">
        <x:is>
          <x:t xml:space="preserve">This is a retail DIY approximation, not the exact Bridgewater institutional All Weather implementation.</x:t>
        </x:is>
      </x:c>
    </x:row>
    <x:row r="12">
      <x:c r="A12" s="18" t="inlineStr">
        <x:is>
          <x:t xml:space="preserve">Source URL 1</x:t>
        </x:is>
      </x:c>
      <x:c r="B12" s="17" t="inlineStr">
        <x:is>
          <x:t xml:space="preserve">https://www.optimizedportfolio.com/all-weather-portfolio/</x:t>
        </x:is>
      </x:c>
    </x:row>
    <x:row r="13">
      <x:c r="A13" s="18" t="inlineStr">
        <x:is>
          <x:t xml:space="preserve">Source URL 2</x:t>
        </x:is>
      </x:c>
      <x:c r="B13" s="17" t="inlineStr">
        <x:is>
          <x:t xml:space="preserve">https://www.bls.gov/regions/mid-atlantic/data/producerpriceindexcommodities_us_table.htm</x:t>
        </x:is>
      </x:c>
    </x:row>
    <x:row r="14">
      <x:c r="A14" s="18" t="inlineStr">
        <x:is>
          <x:t xml:space="preserve">Source URL 3</x:t>
        </x:is>
      </x:c>
      <x:c r="B14" s="17" t="inlineStr">
        <x:is>
          <x:t xml:space="preserve">https://www.bls.gov/ppi/data-retrieval-guide/producer-price-index-commodity-data-series-id-codes.txt</x:t>
        </x:is>
      </x:c>
    </x:row>
  </x:sheetData>
  <x:mergeCells>
    <x:mergeCell ref="A1:D1"/>
  </x:mergeCells>
  <x:pageMargins left="0.7" right="0.7" top="0.75" bottom="0.75" header="0.3" footer="0.3"/>
</x:worksheet>
</file>